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Docencia\DUOC\2025_2\CAPSTONE\Alumnos\Fase 2\"/>
    </mc:Choice>
  </mc:AlternateContent>
  <xr:revisionPtr revIDLastSave="0" documentId="13_ncr:1_{AA53F374-1709-4FC5-907E-657560D2E90A}" xr6:coauthVersionLast="47" xr6:coauthVersionMax="47" xr10:uidLastSave="{00000000-0000-0000-0000-000000000000}"/>
  <bookViews>
    <workbookView xWindow="10500" yWindow="528" windowWidth="12132" windowHeight="120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F56" i="1"/>
  <c r="G56" i="1" s="1"/>
  <c r="E56" i="1"/>
  <c r="J55" i="1"/>
  <c r="K55" i="1" s="1"/>
  <c r="H55" i="1"/>
  <c r="I55" i="1" s="1"/>
  <c r="F55" i="1"/>
  <c r="G55" i="1" s="1"/>
  <c r="E55" i="1"/>
  <c r="J54" i="1"/>
  <c r="K54" i="1" s="1"/>
  <c r="H54" i="1"/>
  <c r="I54" i="1" s="1"/>
  <c r="F54" i="1"/>
  <c r="G54" i="1" s="1"/>
  <c r="E54" i="1"/>
  <c r="J45" i="1"/>
  <c r="K45" i="1" s="1"/>
  <c r="I45" i="1"/>
  <c r="G45" i="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G31" i="1"/>
  <c r="H31" i="1"/>
  <c r="I31" i="1" s="1"/>
  <c r="J31" i="1"/>
  <c r="K31" i="1" s="1"/>
  <c r="G14" i="1"/>
  <c r="H14" i="1"/>
  <c r="I14" i="1" s="1"/>
  <c r="J14" i="1"/>
  <c r="K14" i="1" s="1"/>
  <c r="J33" i="1"/>
  <c r="K33" i="1" s="1"/>
  <c r="I33" i="1"/>
  <c r="G33" i="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<sst xmlns="http://schemas.openxmlformats.org/spreadsheetml/2006/main" count="176" uniqueCount="100">
  <si>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</si>
  <si>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</si>
  <si>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</si>
  <si>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</si>
  <si>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</si>
  <si>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</si>
  <si>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</si>
  <si>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</si>
  <si>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</si>
  <si>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</si>
  <si>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</si>
  <si>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</si>
  <si>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</si>
  <si>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</si>
  <si>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</si>
  <si>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</si>
  <si>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</si>
  <si>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</si>
  <si>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</si>
  <si>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</si>
  <si>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</si>
  <si>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</si>
  <si>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</si>
  <si>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</si>
  <si>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</si>
  <si>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</si>
  <si>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</si>
  <si>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</si>
  <si>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</si>
  <si>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</si>
  <si>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</si>
  <si>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</si>
  <si>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</si>
  <si>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</si>
  <si>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</si>
  <si>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</si>
  <si>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</si>
  <si>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</si>
  <si>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</si>
  <si>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</si>
  <si>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</si>
  <si>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</si>
  <si>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</si>
  <si>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</si>
  <si>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</si>
  <si>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</si>
  <si>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</si>
  <si>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</si>
  <si>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</si>
  <si>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</si>
  <si>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</si>
  <si>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</si>
  <si>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</si>
  <si>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</si>
  <si>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</si>
  <si>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</si>
  <si>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</si>
  <si>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</si>
  <si>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</si>
  <si>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</si>
  <si>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</si>
  <si>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</si>
  <si>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</si>
  <si>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</si>
  <si>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</si>
  <si>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</si>
  <si>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</si>
  <si>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</si>
  <si>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</si>
  <si>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</si>
  <si>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</si>
  <si>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</si>
  <si>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</si>
  <si>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</si>
  <si>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</si>
  <si>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</si>
  <si>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</si>
  <si>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</si>
  <si>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</si>
  <si>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</si>
  <si>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</si>
  <si>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</si>
  <si>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</si>
  <si>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</si>
  <si>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</si>
  <si>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</si>
  <si>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</si>
  <si>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</si>
  <si>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</si>
  <si>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</si>
  <si>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</si>
  <si>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</si>
  <si>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</si>
  <si>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</si>
  <si>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</si>
  <si>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</si>
  <si>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CASTILLO CASTILLO LEONARDO MANUEL RODRIGO</t>
  </si>
  <si>
    <t>SALVO PARRA CRISTIAN JESUS ISRAEL</t>
  </si>
  <si>
    <t>UGARTE CAMPOS LAYNUS ALEXANDER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</si>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</sst>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4" zoomScale="120" zoomScaleNormal="120" workbookViewId="0">
      <selection activeCell="C14" sqref="C1:C1048576"/>
    </sheetView>
  </sheetViews>
  <sheetFormatPr baseColWidth="10" defaultColWidth="14.44140625" defaultRowHeight="15" customHeight="1" outlineLevelRow="1" x14ac:dyDescent="0.3"/>
  <cols>
    <col min="1" max="1" width="10.6640625" hidden="1" customWidth="1"/>
    <col min="2" max="2" width="38.21875" customWidth="1"/>
    <col min="3" max="3" width="18.77734375"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6.6</v>
      </c>
      <c r="D4" s="6">
        <f>$C$35</f>
        <v>5</v>
      </c>
      <c r="E4" s="43">
        <f>C4*C$2+D4*D$2</f>
        <v>6.1999999999999993</v>
      </c>
      <c r="G4" s="1"/>
    </row>
    <row r="5" spans="1:11" ht="14.4" x14ac:dyDescent="0.3">
      <c r="A5" s="5">
        <v>2</v>
      </c>
      <c r="B5" s="32" t="s">
        <v>97</v>
      </c>
      <c r="C5" s="6">
        <f>EVALUACION1!$C$24</f>
        <v>6.6</v>
      </c>
      <c r="D5" s="6">
        <f>C47</f>
        <v>5</v>
      </c>
      <c r="E5" s="43">
        <f t="shared" ref="E5:E6" si="0">C5*C$2+D5*D$2</f>
        <v>6.1999999999999993</v>
      </c>
      <c r="G5" s="1"/>
    </row>
    <row r="6" spans="1:11" ht="14.4" x14ac:dyDescent="0.3">
      <c r="A6" s="5">
        <v>3</v>
      </c>
      <c r="B6" s="32" t="s">
        <v>98</v>
      </c>
      <c r="C6" s="6">
        <f>EVALUACION1!$C$24</f>
        <v>6.6</v>
      </c>
      <c r="D6" s="6">
        <f>C58</f>
        <v>7</v>
      </c>
      <c r="E6" s="43">
        <f t="shared" si="0"/>
        <v>6.6999999999999993</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4"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c r="E14" s="16" t="str">
        <f t="shared" ref="E14" si="5">IF(D14="X",100*0.05,"")</f>
        <v/>
      </c>
      <c r="F14" s="16" t="s">
        <v>95</v>
      </c>
      <c r="G14" s="16">
        <f t="shared" ref="G14" si="6">IF(F14="X",60*0.05,"")</f>
        <v>3</v>
      </c>
      <c r="H14" s="16" t="str">
        <f t="shared" si="2"/>
        <v/>
      </c>
      <c r="I14" s="16" t="str">
        <f t="shared" ref="I14" si="7">IF(H14="X",30*0.05,"")</f>
        <v/>
      </c>
      <c r="J14" s="16" t="str">
        <f t="shared" si="3"/>
        <v/>
      </c>
      <c r="K14" s="16" t="str">
        <f t="shared" si="4"/>
        <v/>
      </c>
    </row>
    <row r="15" spans="1:11" ht="24"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c r="G15" s="16" t="str">
        <f t="shared" ref="G15:G21" si="9">IF(F15="X",60*0.05,"")</f>
        <v/>
      </c>
      <c r="H15" s="16" t="str">
        <f t="shared" si="2"/>
        <v/>
      </c>
      <c r="I15" s="16" t="str">
        <f t="shared" ref="I15:I21" si="10">IF(H15="X",30*0.05,"")</f>
        <v/>
      </c>
      <c r="J15" s="16" t="str">
        <f t="shared" si="3"/>
        <v/>
      </c>
      <c r="K15" s="16" t="str">
        <f t="shared" si="4"/>
        <v/>
      </c>
    </row>
    <row r="16" spans="1:11" ht="24" outlineLevel="1" x14ac:dyDescent="0.3">
      <c r="A16" s="65"/>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17">IF(D18="X",100*0.1,"")</f>
        <v>10</v>
      </c>
      <c r="F18" s="16"/>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95</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95</v>
      </c>
      <c r="E20" s="16">
        <f>IF(D20="X",100*0.05,"")</f>
        <v>5</v>
      </c>
      <c r="F20" s="16" t="str">
        <f t="shared" ref="F18:F21" si="22">IF($C20=L,"X","")</f>
        <v/>
      </c>
      <c r="G20" s="16" t="str">
        <f t="shared" si="9"/>
        <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t="str">
        <f t="shared" si="22"/>
        <v/>
      </c>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0" t="s">
        <v>13</v>
      </c>
      <c r="B27" s="49" t="s">
        <v>14</v>
      </c>
      <c r="C27" s="52" t="str">
        <f>$B$4</f>
        <v>CASTILLO CASTILLO LEONARDO MANUEL RODRIGO</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c r="E31" s="16" t="str">
        <f>IF(D31="X",100*0.1,"")</f>
        <v/>
      </c>
      <c r="F31" s="16" t="s">
        <v>95</v>
      </c>
      <c r="G31" s="16">
        <f>IF(F31="X",60*0.1,"")</f>
        <v>6</v>
      </c>
      <c r="H31" s="16" t="str">
        <f t="shared" ref="H31:H32" si="23">IF($C31=ML,"X","")</f>
        <v/>
      </c>
      <c r="I31" s="16" t="str">
        <f>IF(H31="X",30*0.1,"")</f>
        <v/>
      </c>
      <c r="J31" s="16" t="str">
        <f t="shared" ref="J31:J32" si="24">IF($C31=NL,"X","")</f>
        <v/>
      </c>
      <c r="K31" s="16" t="str">
        <f t="shared" ref="K31:K32" si="25">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
        <v>95</v>
      </c>
      <c r="E32" s="16">
        <f>IF(D32="X",100*0.1,"")</f>
        <v>10</v>
      </c>
      <c r="F32" s="16" t="str">
        <f t="shared" ref="F31:F32" si="26">IF($C32=L,"X","")</f>
        <v/>
      </c>
      <c r="G32" s="16" t="str">
        <f>IF(F32="X",60*0.1,"")</f>
        <v/>
      </c>
      <c r="H32" s="16" t="str">
        <f t="shared" si="23"/>
        <v/>
      </c>
      <c r="I32" s="16" t="str">
        <f>IF(H32="X",30*0.1,"")</f>
        <v/>
      </c>
      <c r="J32" s="16" t="str">
        <f t="shared" si="24"/>
        <v/>
      </c>
      <c r="K32" s="16" t="str">
        <f t="shared" si="25"/>
        <v/>
      </c>
    </row>
    <row r="33" spans="1:11" ht="14.4" x14ac:dyDescent="0.3">
      <c r="A33" s="61"/>
      <c r="B33" s="35" t="str">
        <f>RUBRICA!A17</f>
        <v>13. Colaboración y trabajo en equipo *</v>
      </c>
      <c r="C33" s="33" t="s">
        <v>7</v>
      </c>
      <c r="D33" s="16"/>
      <c r="E33" s="16" t="str">
        <f>IF(D33="X",100*0.1,"")</f>
        <v/>
      </c>
      <c r="F33" s="16" t="s">
        <v>95</v>
      </c>
      <c r="G33" s="16">
        <f>IF(F33="X",60*0.1,"")</f>
        <v>6</v>
      </c>
      <c r="H33" s="16"/>
      <c r="I33" s="16" t="str">
        <f>IF(H33="X",30*0.1,"")</f>
        <v/>
      </c>
      <c r="J33" s="16" t="str">
        <f>IF($C33=NL,"X","")</f>
        <v/>
      </c>
      <c r="K33" s="16" t="str">
        <f>IF($J33="X",0,"")</f>
        <v/>
      </c>
    </row>
    <row r="34" spans="1:11" ht="15.75" customHeight="1" x14ac:dyDescent="0.35">
      <c r="A34" s="61"/>
      <c r="B34" s="21" t="s">
        <v>17</v>
      </c>
      <c r="C34" s="18">
        <f>E34+G34+I34+K34</f>
        <v>22</v>
      </c>
      <c r="D34" s="19"/>
      <c r="E34" s="19">
        <f>SUM(E31:E33)</f>
        <v>10</v>
      </c>
      <c r="F34" s="19"/>
      <c r="G34" s="19">
        <f t="shared" ref="G34:K34" si="27">SUM(G31:G33)</f>
        <v>12</v>
      </c>
      <c r="H34" s="19"/>
      <c r="I34" s="19">
        <f t="shared" si="27"/>
        <v>0</v>
      </c>
      <c r="J34" s="19"/>
      <c r="K34" s="19">
        <f t="shared" si="27"/>
        <v>0</v>
      </c>
    </row>
    <row r="35" spans="1:11" ht="15.75" customHeight="1" x14ac:dyDescent="0.35">
      <c r="A35" s="50"/>
      <c r="B35" s="17" t="s">
        <v>12</v>
      </c>
      <c r="C35" s="20">
        <f>VLOOKUP(C34,ESCALA_TRAB_EQUIP!A2:B62,2,FALSE)</f>
        <v>5</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SALVO PARRA CRISTIAN JESUS ISRAEL</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
        <v>95</v>
      </c>
      <c r="E43" s="16">
        <f>IF(D43="X",100*0.1,"")</f>
        <v>10</v>
      </c>
      <c r="F43" s="16" t="str">
        <f t="shared" ref="F43" si="28">IF($C43=L,"X","")</f>
        <v/>
      </c>
      <c r="G43" s="16" t="str">
        <f>IF(F43="X",60*0.1,"")</f>
        <v/>
      </c>
      <c r="H43" s="16" t="str">
        <f t="shared" ref="H43:H44" si="29">IF($C43=ML,"X","")</f>
        <v/>
      </c>
      <c r="I43" s="16" t="str">
        <f>IF(H43="X",30*0.1,"")</f>
        <v/>
      </c>
      <c r="J43" s="16" t="str">
        <f t="shared" ref="J43:J44" si="30">IF($C43=NL,"X","")</f>
        <v/>
      </c>
      <c r="K43" s="16" t="str">
        <f t="shared" ref="K43:K44" si="31">IF($J43="X",0,"")</f>
        <v/>
      </c>
    </row>
    <row r="44" spans="1:11" ht="24" x14ac:dyDescent="0.3">
      <c r="A44" s="61"/>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9"/>
        <v/>
      </c>
      <c r="I44" s="16" t="str">
        <f>IF(H44="X",30*0.1,"")</f>
        <v/>
      </c>
      <c r="J44" s="16" t="str">
        <f t="shared" si="30"/>
        <v/>
      </c>
      <c r="K44" s="16" t="str">
        <f t="shared" si="31"/>
        <v/>
      </c>
    </row>
    <row r="45" spans="1:11" ht="15.75" customHeight="1" x14ac:dyDescent="0.3">
      <c r="A45" s="61"/>
      <c r="B45" s="35" t="str">
        <f>RUBRICA!A17</f>
        <v>13. Colaboración y trabajo en equipo *</v>
      </c>
      <c r="C45" s="33" t="s">
        <v>7</v>
      </c>
      <c r="D45" s="16"/>
      <c r="E45" s="16" t="str">
        <f>IF(D45="X",100*0.1,"")</f>
        <v/>
      </c>
      <c r="F45" s="16" t="s">
        <v>95</v>
      </c>
      <c r="G45" s="16">
        <f>IF(F45="X",60*0.1,"")</f>
        <v>6</v>
      </c>
      <c r="H45" s="16"/>
      <c r="I45" s="16" t="str">
        <f>IF(H45="X",30*0.1,"")</f>
        <v/>
      </c>
      <c r="J45" s="16" t="str">
        <f>IF($C45=NL,"X","")</f>
        <v/>
      </c>
      <c r="K45" s="16" t="str">
        <f>IF($J45="X",0,"")</f>
        <v/>
      </c>
    </row>
    <row r="46" spans="1:11" ht="15.75" customHeight="1" x14ac:dyDescent="0.35">
      <c r="A46" s="61"/>
      <c r="B46" s="21" t="s">
        <v>17</v>
      </c>
      <c r="C46" s="18">
        <f>E46+G46+I46+K46</f>
        <v>22</v>
      </c>
      <c r="D46" s="19"/>
      <c r="E46" s="19">
        <f>SUM(E43:E45)</f>
        <v>10</v>
      </c>
      <c r="F46" s="19"/>
      <c r="G46" s="19">
        <f t="shared" ref="G46" si="32">SUM(G43:G45)</f>
        <v>12</v>
      </c>
      <c r="H46" s="19"/>
      <c r="I46" s="19">
        <f t="shared" ref="I46" si="33">SUM(I43:I45)</f>
        <v>0</v>
      </c>
      <c r="J46" s="19"/>
      <c r="K46" s="19">
        <f t="shared" ref="K46" si="34">SUM(K43:K45)</f>
        <v>0</v>
      </c>
    </row>
    <row r="47" spans="1:11" ht="15.75" customHeight="1" x14ac:dyDescent="0.35">
      <c r="A47" s="50"/>
      <c r="B47" s="17" t="s">
        <v>12</v>
      </c>
      <c r="C47" s="20">
        <f>VLOOKUP(C46,ESCALA_TRAB_EQUIP!A2:B62,2,FALSE)</f>
        <v>5</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UGARTE CAMPOS LAYNUS ALEXANDER</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
        <v>99</v>
      </c>
      <c r="E54" s="16">
        <f>IF(D54="X",100*0.1,"")</f>
        <v>10</v>
      </c>
      <c r="F54" s="16" t="str">
        <f t="shared" ref="F54:F55" si="35">IF($C54=L,"X","")</f>
        <v/>
      </c>
      <c r="G54" s="16" t="str">
        <f>IF(F54="X",60*0.1,"")</f>
        <v/>
      </c>
      <c r="H54" s="16" t="str">
        <f t="shared" ref="H54:H55" si="36">IF($C54=ML,"X","")</f>
        <v/>
      </c>
      <c r="I54" s="16" t="str">
        <f>IF(H54="X",30*0.1,"")</f>
        <v/>
      </c>
      <c r="J54" s="16" t="str">
        <f t="shared" ref="J54:J55" si="37">IF($C54=NL,"X","")</f>
        <v/>
      </c>
      <c r="K54" s="16" t="str">
        <f t="shared" ref="K54:K55" si="38">IF($J54="X",0,"")</f>
        <v/>
      </c>
    </row>
    <row r="55" spans="1:11" ht="24" x14ac:dyDescent="0.3">
      <c r="A55" s="61"/>
      <c r="B55" s="35" t="str">
        <f>RUBRICA!A15</f>
        <v>11. Expone el tema utilizando un lenguaje técnico disciplinar al presentar la propuesta y responde evidenciando un manejo de la información. *</v>
      </c>
      <c r="C55" s="33" t="s">
        <v>7</v>
      </c>
      <c r="D55" s="16" t="s">
        <v>99</v>
      </c>
      <c r="E55" s="16">
        <f>IF(D55="X",100*0.1,"")</f>
        <v>10</v>
      </c>
      <c r="F55" s="16" t="str">
        <f t="shared" si="35"/>
        <v/>
      </c>
      <c r="G55" s="16" t="str">
        <f>IF(F55="X",60*0.1,"")</f>
        <v/>
      </c>
      <c r="H55" s="16" t="str">
        <f t="shared" si="36"/>
        <v/>
      </c>
      <c r="I55" s="16" t="str">
        <f>IF(H55="X",30*0.1,"")</f>
        <v/>
      </c>
      <c r="J55" s="16" t="str">
        <f t="shared" si="37"/>
        <v/>
      </c>
      <c r="K55" s="16" t="str">
        <f t="shared" si="38"/>
        <v/>
      </c>
    </row>
    <row r="56" spans="1:11" ht="15.75" customHeight="1" x14ac:dyDescent="0.3">
      <c r="A56" s="61"/>
      <c r="B56" s="35" t="str">
        <f>RUBRICA!A17</f>
        <v>13. Colaboración y trabajo en equipo *</v>
      </c>
      <c r="C56" s="33" t="s">
        <v>7</v>
      </c>
      <c r="D56" s="16" t="s">
        <v>99</v>
      </c>
      <c r="E56" s="16">
        <f>IF(D56="X",100*0.1,"")</f>
        <v>10</v>
      </c>
      <c r="F56" s="16" t="str">
        <f>IF($C56=L,"X","")</f>
        <v/>
      </c>
      <c r="G56" s="16" t="str">
        <f>IF(F56="X",60*0.1,"")</f>
        <v/>
      </c>
      <c r="H56" s="16"/>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39">SUM(F54:F56)</f>
        <v>0</v>
      </c>
      <c r="G57" s="19">
        <f t="shared" ref="G57" si="40">SUM(G54:G56)</f>
        <v>0</v>
      </c>
      <c r="H57" s="19">
        <f t="shared" ref="H57" si="41">SUM(H54:H56)</f>
        <v>0</v>
      </c>
      <c r="I57" s="19">
        <f t="shared" ref="I57" si="42">SUM(I54:I56)</f>
        <v>0</v>
      </c>
      <c r="J57" s="19">
        <f t="shared" ref="J57" si="43">SUM(J54:J56)</f>
        <v>0</v>
      </c>
      <c r="K57" s="19">
        <f t="shared" ref="K57" si="44">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2025-10-21T18:15:23Z</dcterms:modified>
  <cp:category/>
  <cp:contentStatus/>
</cp:coreProperties>
</file>